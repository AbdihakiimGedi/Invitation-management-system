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cean monthlyincome\"/>
    </mc:Choice>
  </mc:AlternateContent>
  <xr:revisionPtr revIDLastSave="0" documentId="13_ncr:1_{A1F2728F-3904-4054-A748-A3E4EB4340E7}" xr6:coauthVersionLast="47" xr6:coauthVersionMax="47" xr10:uidLastSave="{00000000-0000-0000-0000-000000000000}"/>
  <bookViews>
    <workbookView xWindow="-120" yWindow="-120" windowWidth="29040" windowHeight="15840" xr2:uid="{B477BAD1-D092-472F-BBAD-A19CAD6B61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I22" i="1"/>
  <c r="I21" i="1"/>
  <c r="I20" i="1"/>
  <c r="I19" i="1"/>
  <c r="I18" i="1"/>
  <c r="H23" i="1"/>
  <c r="G23" i="1"/>
  <c r="F23" i="1"/>
  <c r="I23" i="1" l="1"/>
</calcChain>
</file>

<file path=xl/sharedStrings.xml><?xml version="1.0" encoding="utf-8"?>
<sst xmlns="http://schemas.openxmlformats.org/spreadsheetml/2006/main" count="52" uniqueCount="43">
  <si>
    <t>Revenue of all departments</t>
  </si>
  <si>
    <t>Expenses of all department</t>
  </si>
  <si>
    <t>Net profit</t>
  </si>
  <si>
    <t>Per department Report</t>
  </si>
  <si>
    <t>Department</t>
  </si>
  <si>
    <t>Revenue</t>
  </si>
  <si>
    <t>Expenses</t>
  </si>
  <si>
    <t>Deymaha maqan</t>
  </si>
  <si>
    <t>Hotel Rooms</t>
  </si>
  <si>
    <t>Restaurant Department</t>
  </si>
  <si>
    <t>Cosmetics Department</t>
  </si>
  <si>
    <t>Spa Department</t>
  </si>
  <si>
    <t>Faahfaahinta deymaha maqan</t>
  </si>
  <si>
    <t>Description</t>
  </si>
  <si>
    <t>Deynta maqan</t>
  </si>
  <si>
    <t xml:space="preserve">857.85$ </t>
  </si>
  <si>
    <t>NISA foundation afur+casho</t>
  </si>
  <si>
    <t>Waxay ku maqantahay Shaqalaha</t>
  </si>
  <si>
    <t>Cosmetics  Department</t>
  </si>
  <si>
    <t>Qaali  ayaa ku adeegatay</t>
  </si>
  <si>
    <t>12$</t>
  </si>
  <si>
    <t xml:space="preserve">Waxaa ku adeegtay muxdiin iyo Muhiim  Gacalo </t>
  </si>
  <si>
    <t>35$</t>
  </si>
  <si>
    <t>Waxaa ku adeegtay wardiyaha lama hubo  lkn</t>
  </si>
  <si>
    <t>41$</t>
  </si>
  <si>
    <t>Lacagaha shaqaalaha ku taagan</t>
  </si>
  <si>
    <t>Adnan abdukadir husein</t>
  </si>
  <si>
    <t>4.73$</t>
  </si>
  <si>
    <t>Muxudiin axmed xuseen</t>
  </si>
  <si>
    <t>91.38$</t>
  </si>
  <si>
    <t>Andulahi Candi jamac</t>
  </si>
  <si>
    <t>2.63$</t>
  </si>
  <si>
    <t>Qaali cilmi mahadalle</t>
  </si>
  <si>
    <t>6$</t>
  </si>
  <si>
    <t xml:space="preserve">
Muhiim Gacalo</t>
  </si>
  <si>
    <t>Total=151.74</t>
  </si>
  <si>
    <t>104$</t>
  </si>
  <si>
    <t>Total=1079.85$</t>
  </si>
  <si>
    <t xml:space="preserve">March Financial Report </t>
  </si>
  <si>
    <t xml:space="preserve">Other Expenses </t>
  </si>
  <si>
    <t>Total</t>
  </si>
  <si>
    <t>EVERY DEPARTMENT AND THEIR RVENYUE</t>
  </si>
  <si>
    <t>Every department and their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</si>
</sst>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36"/>
      <name val="Calibri"/>
      <family val="2"/>
      <scheme val="minor"/>
    </font>
    <font>
      <b/>
      <sz val="26"/>
      <color rgb="FF0F172A"/>
      <name val="Arial"/>
      <family val="2"/>
    </font>
    <font>
      <b/>
      <sz val="26"/>
      <color rgb="FF111827"/>
      <name val="Arial"/>
      <family val="2"/>
    </font>
    <font>
      <sz val="11"/>
      <color rgb="FF0070C0"/>
      <name val="Calibri"/>
      <family val="2"/>
      <scheme val="minor"/>
    </font>
    <font>
      <sz val="26"/>
      <color rgb="FF0070C0"/>
      <name val="Calibri"/>
      <family val="2"/>
      <scheme val="minor"/>
    </font>
    <font>
      <b/>
      <sz val="26"/>
      <name val="Calibri"/>
      <family val="2"/>
      <scheme val="minor"/>
    </font>
    <font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3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/>
    <xf numFmtId="0" fontId="6" fillId="2" borderId="0" xfId="0" applyFont="1" applyFill="1" applyAlignment="1">
      <alignment horizontal="left"/>
    </xf>
    <xf numFmtId="0" fontId="5" fillId="0" borderId="0" xfId="0" applyFont="1"/>
    <xf numFmtId="0" fontId="0" fillId="3" borderId="0" xfId="0" applyFill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0" fillId="4" borderId="0" xfId="0" applyFill="1"/>
    <xf numFmtId="0" fontId="2" fillId="4" borderId="0" xfId="0" applyFont="1" applyFill="1"/>
    <xf numFmtId="0" fontId="2" fillId="5" borderId="0" xfId="0" applyFont="1" applyFill="1"/>
    <xf numFmtId="0" fontId="7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" fontId="2" fillId="0" borderId="0" xfId="0" applyNumberFormat="1" applyFont="1"/>
    <xf numFmtId="164" fontId="4" fillId="0" borderId="0" xfId="0" applyNumberFormat="1" applyFont="1"/>
    <xf numFmtId="3" fontId="4" fillId="0" borderId="0" xfId="0" applyNumberFormat="1" applyFont="1"/>
    <xf numFmtId="4" fontId="1" fillId="0" borderId="1" xfId="0" applyNumberFormat="1" applyFont="1" applyBorder="1" applyAlignment="1">
      <alignment vertical="center" wrapText="1"/>
    </xf>
    <xf numFmtId="4" fontId="1" fillId="0" borderId="0" xfId="0" applyNumberFormat="1" applyFont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Sheet1!$D$18:$E$21</c:f>
              <c:strCache>
                <c:ptCount val="4"/>
                <c:pt idx="0">
                  <c:v>Hotel Rooms</c:v>
                </c:pt>
                <c:pt idx="1">
                  <c:v>Restaurant Department</c:v>
                </c:pt>
                <c:pt idx="2">
                  <c:v>Cosmetics Department</c:v>
                </c:pt>
                <c:pt idx="3">
                  <c:v>Spa Department</c:v>
                </c:pt>
              </c:strCache>
            </c:strRef>
          </c:cat>
          <c:val>
            <c:numRef>
              <c:f>Sheet1!$F$18:$F$21</c:f>
              <c:numCache>
                <c:formatCode>#,##0.00</c:formatCode>
                <c:ptCount val="4"/>
                <c:pt idx="0" formatCode="#,##0">
                  <c:v>1220</c:v>
                </c:pt>
                <c:pt idx="1">
                  <c:v>3479.9</c:v>
                </c:pt>
                <c:pt idx="2" formatCode="General">
                  <c:v>163.30000000000001</c:v>
                </c:pt>
                <c:pt idx="3" formatCode="General">
                  <c:v>478.1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3-41DE-A9F7-4180FC98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940064"/>
        <c:axId val="1762941504"/>
      </c:barChart>
      <c:catAx>
        <c:axId val="17629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41504"/>
        <c:crosses val="autoZero"/>
        <c:auto val="1"/>
        <c:lblAlgn val="ctr"/>
        <c:lblOffset val="100"/>
        <c:noMultiLvlLbl val="0"/>
      </c:catAx>
      <c:valAx>
        <c:axId val="17629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96-43F6-8987-2BA914F986C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E96-43F6-8987-2BA914F986CA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E96-43F6-8987-2BA914F986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3200"/>
                      <a:t>98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E96-43F6-8987-2BA914F986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Sheet1!$D$18:$E$22</c:f>
              <c:strCache>
                <c:ptCount val="5"/>
                <c:pt idx="0">
                  <c:v>Hotel Rooms</c:v>
                </c:pt>
                <c:pt idx="1">
                  <c:v>Restaurant Department</c:v>
                </c:pt>
                <c:pt idx="2">
                  <c:v>Cosmetics Department</c:v>
                </c:pt>
                <c:pt idx="3">
                  <c:v>Spa Department</c:v>
                </c:pt>
                <c:pt idx="4">
                  <c:v>Other Expenses </c:v>
                </c:pt>
              </c:strCache>
            </c:strRef>
          </c:cat>
          <c:val>
            <c:numRef>
              <c:f>Sheet1!$H$18:$H$22</c:f>
              <c:numCache>
                <c:formatCode>#,##0.00</c:formatCode>
                <c:ptCount val="5"/>
                <c:pt idx="0" formatCode="General">
                  <c:v>0</c:v>
                </c:pt>
                <c:pt idx="1">
                  <c:v>2056.9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6-43F6-8987-2BA914F986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1431824"/>
        <c:axId val="1771433744"/>
      </c:barChart>
      <c:catAx>
        <c:axId val="177143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33744"/>
        <c:crosses val="autoZero"/>
        <c:auto val="1"/>
        <c:lblAlgn val="ctr"/>
        <c:lblOffset val="100"/>
        <c:noMultiLvlLbl val="0"/>
      </c:catAx>
      <c:valAx>
        <c:axId val="177143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3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Departmnets and reprt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Sheet1!$E$19</c:f>
              <c:strCache>
                <c:ptCount val="1"/>
                <c:pt idx="0">
                  <c:v>Restaurant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Sheet1!$D$20:$D$21</c:f>
              <c:numCache>
                <c:formatCode>General</c:formatCode>
                <c:ptCount val="2"/>
              </c:numCache>
            </c:numRef>
          </c:cat>
          <c:val>
            <c:numRef>
              <c:f>Sheet1!$E$20:$E$21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4-492B-AD89-8E42387AD397}"/>
            </c:ext>
          </c:extLst>
        </c:ser>
        <c:ser>
          <c:idx val="1"/>
          <c:order val="1"/>
          <c:tx>
            <c:strRef>
              <c:f>Sheet1!$D$17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Sheet1!$D$20:$D$21</c:f>
              <c:numCache>
                <c:formatCode>General</c:formatCode>
                <c:ptCount val="2"/>
              </c:numCache>
            </c:numRef>
          </c:cat>
          <c:val>
            <c:numRef>
              <c:f>Sheet1!$D$18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3234-492B-AD89-8E42387AD397}"/>
            </c:ext>
          </c:extLst>
        </c:ser>
        <c:ser>
          <c:idx val="2"/>
          <c:order val="2"/>
          <c:tx>
            <c:strRef>
              <c:f>Sheet1!$F$17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Sheet1!$D$20:$D$21</c:f>
              <c:numCache>
                <c:formatCode>General</c:formatCode>
                <c:ptCount val="2"/>
              </c:numCache>
            </c:numRef>
          </c:cat>
          <c:val>
            <c:numRef>
              <c:f>Sheet1!$F$18:$F$21</c:f>
              <c:numCache>
                <c:formatCode>#,##0.00</c:formatCode>
                <c:ptCount val="4"/>
                <c:pt idx="0" formatCode="#,##0">
                  <c:v>1220</c:v>
                </c:pt>
                <c:pt idx="1">
                  <c:v>3479.9</c:v>
                </c:pt>
                <c:pt idx="2" formatCode="General">
                  <c:v>163.30000000000001</c:v>
                </c:pt>
                <c:pt idx="3" formatCode="General">
                  <c:v>478.1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34-492B-AD89-8E42387AD397}"/>
            </c:ext>
          </c:extLst>
        </c:ser>
        <c:ser>
          <c:idx val="3"/>
          <c:order val="3"/>
          <c:tx>
            <c:strRef>
              <c:f>Sheet1!$H$17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Sheet1!$D$20:$D$21</c:f>
              <c:numCache>
                <c:formatCode>General</c:formatCode>
                <c:ptCount val="2"/>
              </c:numCache>
            </c:numRef>
          </c:cat>
          <c:val>
            <c:numRef>
              <c:f>Sheet1!$H$18:$H$22</c:f>
              <c:numCache>
                <c:formatCode>#,##0.00</c:formatCode>
                <c:ptCount val="5"/>
                <c:pt idx="0" formatCode="General">
                  <c:v>0</c:v>
                </c:pt>
                <c:pt idx="1">
                  <c:v>2056.9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34-492B-AD89-8E42387AD397}"/>
            </c:ext>
          </c:extLst>
        </c:ser>
        <c:ser>
          <c:idx val="4"/>
          <c:order val="4"/>
          <c:tx>
            <c:strRef>
              <c:f>Sheet1!$I$17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Sheet1!$D$20:$D$21</c:f>
              <c:numCache>
                <c:formatCode>General</c:formatCode>
                <c:ptCount val="2"/>
              </c:numCache>
            </c:numRef>
          </c:cat>
          <c:val>
            <c:numRef>
              <c:f>Sheet1!$I$18:$I$21</c:f>
              <c:numCache>
                <c:formatCode>#,##0.00</c:formatCode>
                <c:ptCount val="4"/>
                <c:pt idx="0" formatCode="#,##0">
                  <c:v>1220</c:v>
                </c:pt>
                <c:pt idx="1">
                  <c:v>1423</c:v>
                </c:pt>
                <c:pt idx="2" formatCode="General">
                  <c:v>163.30000000000001</c:v>
                </c:pt>
                <c:pt idx="3" formatCode="General">
                  <c:v>478.1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34-492B-AD89-8E42387AD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989520"/>
        <c:axId val="1549984720"/>
      </c:barChart>
      <c:catAx>
        <c:axId val="154998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84720"/>
        <c:crosses val="autoZero"/>
        <c:auto val="1"/>
        <c:lblAlgn val="ctr"/>
        <c:lblOffset val="100"/>
        <c:noMultiLvlLbl val="0"/>
      </c:catAx>
      <c:valAx>
        <c:axId val="154998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8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7</xdr:row>
      <xdr:rowOff>152399</xdr:rowOff>
    </xdr:from>
    <xdr:to>
      <xdr:col>20</xdr:col>
      <xdr:colOff>19050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BACCEB-DAB1-45D3-9F65-DAA718FEA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34</xdr:row>
      <xdr:rowOff>9525</xdr:rowOff>
    </xdr:from>
    <xdr:to>
      <xdr:col>18</xdr:col>
      <xdr:colOff>552450</xdr:colOff>
      <xdr:row>47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CEFDCC-1082-4F6F-BE4A-9E7034F5A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476249</xdr:colOff>
      <xdr:row>52</xdr:row>
      <xdr:rowOff>180975</xdr:rowOff>
    </xdr:from>
    <xdr:to>
      <xdr:col>22</xdr:col>
      <xdr:colOff>104774</xdr:colOff>
      <xdr:row>70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FB7A5E-4597-43A9-A690-4EC820863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4EDD-5B18-438E-9211-82D1C0B953B4}">
  <dimension ref="B2:Y45"/>
  <sheetViews>
    <sheetView tabSelected="1" topLeftCell="A16" zoomScale="64" zoomScaleNormal="64" workbookViewId="0">
      <selection activeCell="G23" sqref="G23"/>
    </sheetView>
  </sheetViews>
  <sheetFormatPr defaultRowHeight="15" x14ac:dyDescent="0.25"/>
  <cols>
    <col min="5" max="5" width="61.5703125" customWidth="1"/>
    <col min="6" max="6" width="60.5703125" customWidth="1"/>
    <col min="7" max="7" width="42.5703125" customWidth="1"/>
    <col min="8" max="8" width="25.140625" customWidth="1"/>
    <col min="9" max="9" width="34.7109375" customWidth="1"/>
  </cols>
  <sheetData>
    <row r="2" spans="2:25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2:25" x14ac:dyDescent="0.25">
      <c r="B3" s="9"/>
      <c r="C3" s="21" t="s">
        <v>38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2:25" x14ac:dyDescent="0.25">
      <c r="B4" s="9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2:25" x14ac:dyDescent="0.25">
      <c r="B5" s="9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2:25" x14ac:dyDescent="0.25">
      <c r="B6" s="9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2:25" ht="5.25" customHeight="1" x14ac:dyDescent="0.25">
      <c r="B7" s="9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9" spans="2:25" ht="34.5" thickBot="1" x14ac:dyDescent="0.55000000000000004">
      <c r="E9" s="1" t="s">
        <v>0</v>
      </c>
      <c r="F9" s="1" t="s">
        <v>1</v>
      </c>
      <c r="G9" s="1" t="s">
        <v>2</v>
      </c>
    </row>
    <row r="10" spans="2:25" ht="29.25" thickBot="1" x14ac:dyDescent="0.5">
      <c r="E10" s="30">
        <v>5341.3</v>
      </c>
      <c r="F10" s="30">
        <v>2154.9</v>
      </c>
      <c r="G10" s="31">
        <f>E10-F10</f>
        <v>3186.4</v>
      </c>
    </row>
    <row r="15" spans="2:25" x14ac:dyDescent="0.25">
      <c r="C15" s="8"/>
      <c r="D15" s="8"/>
      <c r="E15" s="23" t="s">
        <v>3</v>
      </c>
      <c r="F15" s="24"/>
      <c r="G15" s="24"/>
      <c r="H15" s="8"/>
      <c r="I15" s="8"/>
    </row>
    <row r="16" spans="2:25" x14ac:dyDescent="0.25">
      <c r="C16" s="8"/>
      <c r="D16" s="8"/>
      <c r="E16" s="24"/>
      <c r="F16" s="24"/>
      <c r="G16" s="24"/>
      <c r="H16" s="8"/>
      <c r="I16" s="8"/>
    </row>
    <row r="17" spans="4:9" ht="54.95" customHeight="1" x14ac:dyDescent="0.55000000000000004">
      <c r="D17" s="3"/>
      <c r="E17" s="3" t="s">
        <v>4</v>
      </c>
      <c r="F17" s="3" t="s">
        <v>5</v>
      </c>
      <c r="G17" s="3" t="s">
        <v>7</v>
      </c>
      <c r="H17" s="3" t="s">
        <v>6</v>
      </c>
      <c r="I17" s="3" t="s">
        <v>2</v>
      </c>
    </row>
    <row r="18" spans="4:9" ht="33.75" x14ac:dyDescent="0.5">
      <c r="D18" s="18"/>
      <c r="E18" s="19" t="s">
        <v>8</v>
      </c>
      <c r="F18" s="4">
        <v>1220</v>
      </c>
      <c r="G18" s="1">
        <v>0</v>
      </c>
      <c r="H18" s="1">
        <v>0</v>
      </c>
      <c r="I18" s="4">
        <f>F18-H18</f>
        <v>1220</v>
      </c>
    </row>
    <row r="19" spans="4:9" ht="33.75" x14ac:dyDescent="0.5">
      <c r="D19" s="20"/>
      <c r="E19" s="20" t="s">
        <v>9</v>
      </c>
      <c r="F19" s="27">
        <v>3479.9</v>
      </c>
      <c r="G19" s="1">
        <v>961.85</v>
      </c>
      <c r="H19" s="27">
        <v>2056.9</v>
      </c>
      <c r="I19" s="27">
        <f>F19-H19</f>
        <v>1423</v>
      </c>
    </row>
    <row r="20" spans="4:9" ht="33.75" x14ac:dyDescent="0.5">
      <c r="D20" s="19"/>
      <c r="E20" s="19" t="s">
        <v>10</v>
      </c>
      <c r="F20" s="1">
        <v>163.30000000000001</v>
      </c>
      <c r="G20" s="1">
        <v>88</v>
      </c>
      <c r="H20" s="1">
        <v>0</v>
      </c>
      <c r="I20" s="1">
        <f>F20-H20</f>
        <v>163.30000000000001</v>
      </c>
    </row>
    <row r="21" spans="4:9" ht="33.75" x14ac:dyDescent="0.5">
      <c r="D21" s="19"/>
      <c r="E21" s="19" t="s">
        <v>11</v>
      </c>
      <c r="F21" s="1">
        <v>478.1</v>
      </c>
      <c r="G21" s="1">
        <v>0</v>
      </c>
      <c r="H21" s="1">
        <v>0</v>
      </c>
      <c r="I21" s="1">
        <f>F21-H21</f>
        <v>478.1</v>
      </c>
    </row>
    <row r="22" spans="4:9" ht="64.5" customHeight="1" x14ac:dyDescent="0.5">
      <c r="E22" s="19" t="s">
        <v>39</v>
      </c>
      <c r="F22" s="28">
        <v>0</v>
      </c>
      <c r="G22" s="7">
        <v>0</v>
      </c>
      <c r="H22" s="7">
        <v>98</v>
      </c>
      <c r="I22" s="29">
        <f>F22-H22</f>
        <v>-98</v>
      </c>
    </row>
    <row r="23" spans="4:9" ht="64.5" customHeight="1" x14ac:dyDescent="0.5">
      <c r="E23" s="19" t="s">
        <v>40</v>
      </c>
      <c r="F23" s="28">
        <f>SUM(F18:F22)</f>
        <v>5341.3</v>
      </c>
      <c r="G23" s="7">
        <f>SUM(G18:G22)</f>
        <v>1049.8499999999999</v>
      </c>
      <c r="H23" s="7">
        <f>SUM(H18:H22)</f>
        <v>2154.9</v>
      </c>
      <c r="I23" s="29">
        <f>SUM(I18:I22)</f>
        <v>3186.4</v>
      </c>
    </row>
    <row r="24" spans="4:9" x14ac:dyDescent="0.25">
      <c r="D24" s="8"/>
      <c r="E24" s="23" t="s">
        <v>12</v>
      </c>
      <c r="F24" s="24"/>
      <c r="G24" s="24"/>
      <c r="H24" s="24"/>
    </row>
    <row r="25" spans="4:9" x14ac:dyDescent="0.25">
      <c r="D25" s="8"/>
      <c r="E25" s="24"/>
      <c r="F25" s="24"/>
      <c r="G25" s="24"/>
      <c r="H25" s="24"/>
    </row>
    <row r="26" spans="4:9" ht="33.75" x14ac:dyDescent="0.5">
      <c r="E26" s="1" t="s">
        <v>4</v>
      </c>
      <c r="F26" s="1" t="s">
        <v>14</v>
      </c>
      <c r="G26" s="1" t="s">
        <v>13</v>
      </c>
    </row>
    <row r="28" spans="4:9" s="5" customFormat="1" ht="33.75" x14ac:dyDescent="0.5">
      <c r="E28" s="6"/>
      <c r="F28" s="6"/>
      <c r="G28" s="6"/>
    </row>
    <row r="29" spans="4:9" ht="67.5" x14ac:dyDescent="0.5">
      <c r="D29" s="6"/>
      <c r="E29" s="6" t="s">
        <v>9</v>
      </c>
      <c r="F29" s="6" t="s">
        <v>15</v>
      </c>
      <c r="G29" s="6" t="s">
        <v>16</v>
      </c>
      <c r="H29" s="6"/>
      <c r="I29" s="1"/>
    </row>
    <row r="30" spans="4:9" ht="101.25" x14ac:dyDescent="0.5">
      <c r="D30" s="6"/>
      <c r="E30" s="6" t="s">
        <v>9</v>
      </c>
      <c r="F30" s="6" t="s">
        <v>36</v>
      </c>
      <c r="G30" s="6" t="s">
        <v>17</v>
      </c>
      <c r="H30" s="6"/>
    </row>
    <row r="31" spans="4:9" ht="67.5" x14ac:dyDescent="0.5">
      <c r="D31" s="6"/>
      <c r="E31" s="6" t="s">
        <v>18</v>
      </c>
      <c r="F31" s="6" t="s">
        <v>24</v>
      </c>
      <c r="G31" s="6" t="s">
        <v>19</v>
      </c>
      <c r="H31" s="6"/>
    </row>
    <row r="32" spans="4:9" ht="101.25" x14ac:dyDescent="0.5">
      <c r="E32" s="6" t="s">
        <v>18</v>
      </c>
      <c r="F32" s="6" t="s">
        <v>20</v>
      </c>
      <c r="G32" s="6" t="s">
        <v>21</v>
      </c>
    </row>
    <row r="33" spans="2:8" ht="101.25" x14ac:dyDescent="0.5">
      <c r="E33" s="6" t="s">
        <v>18</v>
      </c>
      <c r="F33" s="6" t="s">
        <v>22</v>
      </c>
      <c r="G33" s="6" t="s">
        <v>23</v>
      </c>
    </row>
    <row r="34" spans="2:8" ht="33.75" x14ac:dyDescent="0.5">
      <c r="D34" s="15"/>
      <c r="E34" s="15"/>
      <c r="F34" s="17" t="s">
        <v>37</v>
      </c>
      <c r="G34" s="10"/>
    </row>
    <row r="36" spans="2:8" x14ac:dyDescent="0.25">
      <c r="D36" s="11"/>
      <c r="E36" s="25" t="s">
        <v>25</v>
      </c>
      <c r="F36" s="26"/>
      <c r="G36" s="26"/>
      <c r="H36" s="26"/>
    </row>
    <row r="37" spans="2:8" x14ac:dyDescent="0.25">
      <c r="D37" s="11"/>
      <c r="E37" s="26"/>
      <c r="F37" s="26"/>
      <c r="G37" s="26"/>
      <c r="H37" s="26"/>
    </row>
    <row r="39" spans="2:8" ht="33.75" x14ac:dyDescent="0.5">
      <c r="D39" s="1"/>
      <c r="E39" s="12" t="s">
        <v>26</v>
      </c>
      <c r="F39" s="1" t="s">
        <v>27</v>
      </c>
    </row>
    <row r="40" spans="2:8" ht="33.75" x14ac:dyDescent="0.5">
      <c r="D40" s="1"/>
      <c r="E40" s="12" t="s">
        <v>28</v>
      </c>
      <c r="F40" s="1" t="s">
        <v>29</v>
      </c>
    </row>
    <row r="41" spans="2:8" ht="33.75" x14ac:dyDescent="0.5">
      <c r="D41" s="1"/>
      <c r="E41" s="13" t="s">
        <v>30</v>
      </c>
      <c r="F41" s="1" t="s">
        <v>31</v>
      </c>
    </row>
    <row r="42" spans="2:8" ht="33.75" x14ac:dyDescent="0.5">
      <c r="D42" s="1"/>
      <c r="E42" s="14" t="s">
        <v>32</v>
      </c>
      <c r="F42" s="1" t="s">
        <v>24</v>
      </c>
    </row>
    <row r="43" spans="2:8" ht="33.75" x14ac:dyDescent="0.5">
      <c r="D43" s="1"/>
      <c r="E43" s="1" t="s">
        <v>28</v>
      </c>
      <c r="F43" s="1" t="s">
        <v>33</v>
      </c>
    </row>
    <row r="44" spans="2:8" ht="33.75" x14ac:dyDescent="0.5">
      <c r="D44" s="1"/>
      <c r="E44" s="1" t="s">
        <v>34</v>
      </c>
      <c r="F44" s="1" t="s">
        <v>33</v>
      </c>
    </row>
    <row r="45" spans="2:8" ht="33.75" x14ac:dyDescent="0.5">
      <c r="B45" s="15"/>
      <c r="C45" s="15"/>
      <c r="D45" s="15"/>
      <c r="E45" s="15"/>
      <c r="F45" s="16" t="s">
        <v>35</v>
      </c>
    </row>
  </sheetData>
  <mergeCells count="4">
    <mergeCell ref="C3:Y7"/>
    <mergeCell ref="E15:G16"/>
    <mergeCell ref="E24:H25"/>
    <mergeCell ref="E36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C084-0CA2-4F1E-B09A-373B33FBFCDF}">
  <dimension ref="A4:AC34"/>
  <sheetViews>
    <sheetView topLeftCell="A106" zoomScaleNormal="100" workbookViewId="0">
      <selection activeCell="W10" sqref="W10"/>
    </sheetView>
  </sheetViews>
  <sheetFormatPr defaultRowHeight="15" x14ac:dyDescent="0.25"/>
  <cols>
    <col min="1" max="29" width="9.140625" style="32"/>
  </cols>
  <sheetData>
    <row r="4" spans="5:19" x14ac:dyDescent="0.25">
      <c r="E4" s="33"/>
      <c r="F4" s="34" t="s">
        <v>41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</row>
    <row r="5" spans="5:19" x14ac:dyDescent="0.25"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5:19" x14ac:dyDescent="0.25"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7" spans="5:19" x14ac:dyDescent="0.25"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</row>
    <row r="31" spans="8:18" x14ac:dyDescent="0.25">
      <c r="H31" s="36" t="s">
        <v>42</v>
      </c>
      <c r="I31" s="35"/>
      <c r="J31" s="35"/>
      <c r="K31" s="35"/>
      <c r="L31" s="35"/>
      <c r="M31" s="35"/>
      <c r="N31" s="35"/>
      <c r="O31" s="35"/>
      <c r="P31" s="35"/>
      <c r="Q31" s="35"/>
      <c r="R31" s="35"/>
    </row>
    <row r="32" spans="8:18" x14ac:dyDescent="0.25"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</row>
    <row r="33" spans="8:18" x14ac:dyDescent="0.25"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</row>
    <row r="34" spans="8:18" x14ac:dyDescent="0.25"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</row>
  </sheetData>
  <mergeCells count="2">
    <mergeCell ref="F4:S7"/>
    <mergeCell ref="H31:R34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2026-03-31T08:53:13Z</dcterms:created>
  <dcterms:modified xsi:type="dcterms:W3CDTF">2026-04-01T13:08:22Z</dcterms:modified>
</cp:coreProperties>
</file>